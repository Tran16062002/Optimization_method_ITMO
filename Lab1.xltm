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/>
  <mc:AlternateContent xmlns:mc="http://schemas.openxmlformats.org/markup-compatibility/2006">
    <mc:Choice Requires="x15">
      <x15ac:absPath xmlns:x15ac="http://schemas.microsoft.com/office/spreadsheetml/2010/11/ac" url="C:\Users\ADMIN\Documents\Custom Office Templates\"/>
    </mc:Choice>
  </mc:AlternateContent>
  <xr:revisionPtr revIDLastSave="0" documentId="8_{6F4B9521-FF9F-49B6-925F-4D072296D06D}" xr6:coauthVersionLast="47" xr6:coauthVersionMax="47" xr10:uidLastSave="{00000000-0000-0000-0000-000000000000}"/>
  <bookViews>
    <workbookView xWindow="44745" yWindow="1590" windowWidth="21600" windowHeight="11055" activeTab="1" xr2:uid="{00000000-000D-0000-FFFF-FFFF00000000}"/>
  </bookViews>
  <sheets>
    <sheet name="Answer Report 1" sheetId="2" r:id="rId1"/>
    <sheet name="Sheet1" sheetId="1" r:id="rId2"/>
  </sheets>
  <definedNames>
    <definedName name="solver_adj" localSheetId="1" hidden="1">Sheet1!$A$2:$D$2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itr" localSheetId="1" hidden="1">2147483647</definedName>
    <definedName name="solver_lhs1" localSheetId="1" hidden="1">Sheet1!$A$6</definedName>
    <definedName name="solver_lhs2" localSheetId="1" hidden="1">Sheet1!$A$7</definedName>
    <definedName name="solver_lhs3" localSheetId="1" hidden="1">Sheet1!$A$8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Sheet1!$E$2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2</definedName>
    <definedName name="solver_rel3" localSheetId="1" hidden="1">3</definedName>
    <definedName name="solver_rhs1" localSheetId="1" hidden="1">Sheet1!$C$6</definedName>
    <definedName name="solver_rhs2" localSheetId="1" hidden="1">Sheet1!$C$7</definedName>
    <definedName name="solver_rhs3" localSheetId="1" hidden="1">Sheet1!$C$8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" i="1" l="1"/>
  <c r="A7" i="1"/>
  <c r="A6" i="1"/>
  <c r="E2" i="1"/>
</calcChain>
</file>

<file path=xl/sharedStrings.xml><?xml version="1.0" encoding="utf-8"?>
<sst xmlns="http://schemas.openxmlformats.org/spreadsheetml/2006/main" count="64" uniqueCount="45">
  <si>
    <t>x1</t>
  </si>
  <si>
    <t>x2</t>
  </si>
  <si>
    <t>x3</t>
  </si>
  <si>
    <t>x4</t>
  </si>
  <si>
    <t>z</t>
  </si>
  <si>
    <t>условия</t>
  </si>
  <si>
    <t>&lt;=</t>
  </si>
  <si>
    <t>=</t>
  </si>
  <si>
    <t>&gt;=</t>
  </si>
  <si>
    <t>Microsoft Excel 16.0 Answer Report</t>
  </si>
  <si>
    <t>Worksheet: [New Microsoft Excel Worksheet.xlsx]Sheet1</t>
  </si>
  <si>
    <t>Report Created: 9/22/2026 7:45:31 PM</t>
  </si>
  <si>
    <t>Result: Solver found a solution.  All Constraints and optimality conditions are satisfied.</t>
  </si>
  <si>
    <t>Solver Engine</t>
  </si>
  <si>
    <t>Engine: Simplex LP</t>
  </si>
  <si>
    <t>Solution Time: 0.016 Seconds.</t>
  </si>
  <si>
    <t>Iterations: 4 Subproblems: 0</t>
  </si>
  <si>
    <t>Solver Options</t>
  </si>
  <si>
    <t>Max Time Unlimited,  Iterations Unlimited, Precision 0.000001, Use Automatic Scaling</t>
  </si>
  <si>
    <t>Max Subproblems Unlimited, Max Integer Sols Unlimited, Integer Tolerance 1%, Assume NonNegative</t>
  </si>
  <si>
    <t>Objective Cell (Min)</t>
  </si>
  <si>
    <t>Cell</t>
  </si>
  <si>
    <t>Name</t>
  </si>
  <si>
    <t>Original Value</t>
  </si>
  <si>
    <t>Final Value</t>
  </si>
  <si>
    <t>Variable Cells</t>
  </si>
  <si>
    <t>Integer</t>
  </si>
  <si>
    <t>Constraints</t>
  </si>
  <si>
    <t>Cell Value</t>
  </si>
  <si>
    <t>Formula</t>
  </si>
  <si>
    <t>Status</t>
  </si>
  <si>
    <t>Slack</t>
  </si>
  <si>
    <t>$E$2</t>
  </si>
  <si>
    <t>$A$2</t>
  </si>
  <si>
    <t>Contin</t>
  </si>
  <si>
    <t>$B$2</t>
  </si>
  <si>
    <t>$C$2</t>
  </si>
  <si>
    <t>$D$2</t>
  </si>
  <si>
    <t>$A$6</t>
  </si>
  <si>
    <t>$A$6&lt;=$C$6</t>
  </si>
  <si>
    <t>Binding</t>
  </si>
  <si>
    <t>$A$7</t>
  </si>
  <si>
    <t>$A$7=$C$7</t>
  </si>
  <si>
    <t>$A$8</t>
  </si>
  <si>
    <t>$A$8&gt;=$C$8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</si>
</sst>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1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2" xfId="0" applyFill="1" applyBorder="1" applyAlignment="1"/>
    <xf numFmtId="0" fontId="2" fillId="0" borderId="1" xfId="0" applyFont="1" applyFill="1" applyBorder="1" applyAlignment="1">
      <alignment horizontal="center"/>
    </xf>
    <xf numFmtId="0" fontId="0" fillId="0" borderId="3" xfId="0" applyFill="1" applyBorder="1" applyAlignment="1"/>
    <xf numFmtId="0" fontId="0" fillId="0" borderId="2" xfId="0" applyNumberFormat="1" applyFill="1" applyBorder="1" applyAlignment="1"/>
    <xf numFmtId="0" fontId="0" fillId="0" borderId="3" xfId="0" applyNumberForma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2D305-C121-4673-8AF3-94FE9137898B}">
  <dimension ref="A1:G31"/>
  <sheetViews>
    <sheetView showGridLines="0" workbookViewId="0"/>
  </sheetViews>
  <sheetFormatPr defaultRowHeight="14.25" x14ac:dyDescent="0.45"/>
  <cols>
    <col min="1" max="1" width="2.1328125" customWidth="1"/>
    <col min="2" max="2" width="4.86328125" bestFit="1" customWidth="1"/>
    <col min="3" max="3" width="7.6640625" bestFit="1" customWidth="1"/>
    <col min="4" max="4" width="12.73046875" bestFit="1" customWidth="1"/>
    <col min="5" max="5" width="10.73046875" bestFit="1" customWidth="1"/>
    <col min="6" max="6" width="7.1328125" bestFit="1" customWidth="1"/>
    <col min="7" max="7" width="5" bestFit="1" customWidth="1"/>
  </cols>
  <sheetData>
    <row r="1" spans="1:5" x14ac:dyDescent="0.45">
      <c r="A1" s="1" t="s">
        <v>9</v>
      </c>
    </row>
    <row r="2" spans="1:5" x14ac:dyDescent="0.45">
      <c r="A2" s="1" t="s">
        <v>10</v>
      </c>
    </row>
    <row r="3" spans="1:5" x14ac:dyDescent="0.45">
      <c r="A3" s="1" t="s">
        <v>11</v>
      </c>
    </row>
    <row r="4" spans="1:5" x14ac:dyDescent="0.45">
      <c r="A4" s="1" t="s">
        <v>12</v>
      </c>
    </row>
    <row r="5" spans="1:5" x14ac:dyDescent="0.45">
      <c r="A5" s="1" t="s">
        <v>13</v>
      </c>
    </row>
    <row r="6" spans="1:5" x14ac:dyDescent="0.45">
      <c r="A6" s="1"/>
      <c r="B6" t="s">
        <v>14</v>
      </c>
    </row>
    <row r="7" spans="1:5" x14ac:dyDescent="0.45">
      <c r="A7" s="1"/>
      <c r="B7" t="s">
        <v>15</v>
      </c>
    </row>
    <row r="8" spans="1:5" x14ac:dyDescent="0.45">
      <c r="A8" s="1"/>
      <c r="B8" t="s">
        <v>16</v>
      </c>
    </row>
    <row r="9" spans="1:5" x14ac:dyDescent="0.45">
      <c r="A9" s="1" t="s">
        <v>17</v>
      </c>
    </row>
    <row r="10" spans="1:5" x14ac:dyDescent="0.45">
      <c r="B10" t="s">
        <v>18</v>
      </c>
    </row>
    <row r="11" spans="1:5" x14ac:dyDescent="0.45">
      <c r="B11" t="s">
        <v>19</v>
      </c>
    </row>
    <row r="14" spans="1:5" ht="14.65" thickBot="1" x14ac:dyDescent="0.5">
      <c r="A14" t="s">
        <v>20</v>
      </c>
    </row>
    <row r="15" spans="1:5" ht="14.65" thickBot="1" x14ac:dyDescent="0.5">
      <c r="B15" s="3" t="s">
        <v>21</v>
      </c>
      <c r="C15" s="3" t="s">
        <v>22</v>
      </c>
      <c r="D15" s="3" t="s">
        <v>23</v>
      </c>
      <c r="E15" s="3" t="s">
        <v>24</v>
      </c>
    </row>
    <row r="16" spans="1:5" ht="14.65" thickBot="1" x14ac:dyDescent="0.5">
      <c r="B16" s="2" t="s">
        <v>32</v>
      </c>
      <c r="C16" s="2" t="s">
        <v>4</v>
      </c>
      <c r="D16" s="5">
        <v>0</v>
      </c>
      <c r="E16" s="5">
        <v>8</v>
      </c>
    </row>
    <row r="19" spans="1:7" ht="14.65" thickBot="1" x14ac:dyDescent="0.5">
      <c r="A19" t="s">
        <v>25</v>
      </c>
    </row>
    <row r="20" spans="1:7" ht="14.65" thickBot="1" x14ac:dyDescent="0.5">
      <c r="B20" s="3" t="s">
        <v>21</v>
      </c>
      <c r="C20" s="3" t="s">
        <v>22</v>
      </c>
      <c r="D20" s="3" t="s">
        <v>23</v>
      </c>
      <c r="E20" s="3" t="s">
        <v>24</v>
      </c>
      <c r="F20" s="3" t="s">
        <v>26</v>
      </c>
    </row>
    <row r="21" spans="1:7" x14ac:dyDescent="0.45">
      <c r="B21" s="4" t="s">
        <v>33</v>
      </c>
      <c r="C21" s="4" t="s">
        <v>0</v>
      </c>
      <c r="D21" s="6">
        <v>0</v>
      </c>
      <c r="E21" s="6">
        <v>0</v>
      </c>
      <c r="F21" s="4" t="s">
        <v>34</v>
      </c>
    </row>
    <row r="22" spans="1:7" x14ac:dyDescent="0.45">
      <c r="B22" s="4" t="s">
        <v>35</v>
      </c>
      <c r="C22" s="4" t="s">
        <v>1</v>
      </c>
      <c r="D22" s="6">
        <v>0</v>
      </c>
      <c r="E22" s="6">
        <v>0</v>
      </c>
      <c r="F22" s="4" t="s">
        <v>34</v>
      </c>
    </row>
    <row r="23" spans="1:7" x14ac:dyDescent="0.45">
      <c r="B23" s="4" t="s">
        <v>36</v>
      </c>
      <c r="C23" s="4" t="s">
        <v>2</v>
      </c>
      <c r="D23" s="6">
        <v>0</v>
      </c>
      <c r="E23" s="6">
        <v>2</v>
      </c>
      <c r="F23" s="4" t="s">
        <v>34</v>
      </c>
    </row>
    <row r="24" spans="1:7" ht="14.65" thickBot="1" x14ac:dyDescent="0.5">
      <c r="B24" s="2" t="s">
        <v>37</v>
      </c>
      <c r="C24" s="2" t="s">
        <v>3</v>
      </c>
      <c r="D24" s="5">
        <v>0</v>
      </c>
      <c r="E24" s="5">
        <v>4</v>
      </c>
      <c r="F24" s="2" t="s">
        <v>34</v>
      </c>
    </row>
    <row r="27" spans="1:7" ht="14.65" thickBot="1" x14ac:dyDescent="0.5">
      <c r="A27" t="s">
        <v>27</v>
      </c>
    </row>
    <row r="28" spans="1:7" ht="14.65" thickBot="1" x14ac:dyDescent="0.5">
      <c r="B28" s="3" t="s">
        <v>21</v>
      </c>
      <c r="C28" s="3" t="s">
        <v>22</v>
      </c>
      <c r="D28" s="3" t="s">
        <v>28</v>
      </c>
      <c r="E28" s="3" t="s">
        <v>29</v>
      </c>
      <c r="F28" s="3" t="s">
        <v>30</v>
      </c>
      <c r="G28" s="3" t="s">
        <v>31</v>
      </c>
    </row>
    <row r="29" spans="1:7" x14ac:dyDescent="0.45">
      <c r="B29" s="4" t="s">
        <v>38</v>
      </c>
      <c r="C29" s="4" t="s">
        <v>5</v>
      </c>
      <c r="D29" s="6">
        <v>8</v>
      </c>
      <c r="E29" s="4" t="s">
        <v>39</v>
      </c>
      <c r="F29" s="4" t="s">
        <v>40</v>
      </c>
      <c r="G29" s="4">
        <v>0</v>
      </c>
    </row>
    <row r="30" spans="1:7" x14ac:dyDescent="0.45">
      <c r="B30" s="4" t="s">
        <v>41</v>
      </c>
      <c r="C30" s="4" t="s">
        <v>5</v>
      </c>
      <c r="D30" s="6">
        <v>6</v>
      </c>
      <c r="E30" s="4" t="s">
        <v>42</v>
      </c>
      <c r="F30" s="4" t="s">
        <v>40</v>
      </c>
      <c r="G30" s="4">
        <v>0</v>
      </c>
    </row>
    <row r="31" spans="1:7" ht="14.65" thickBot="1" x14ac:dyDescent="0.5">
      <c r="B31" s="2" t="s">
        <v>43</v>
      </c>
      <c r="C31" s="2" t="s">
        <v>5</v>
      </c>
      <c r="D31" s="5">
        <v>2</v>
      </c>
      <c r="E31" s="2" t="s">
        <v>44</v>
      </c>
      <c r="F31" s="2" t="s">
        <v>40</v>
      </c>
      <c r="G31" s="5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8"/>
  <sheetViews>
    <sheetView tabSelected="1" workbookViewId="0">
      <selection activeCell="D8" sqref="D8"/>
    </sheetView>
  </sheetViews>
  <sheetFormatPr defaultRowHeight="14.25" x14ac:dyDescent="0.45"/>
  <sheetData>
    <row r="1" spans="1:5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5">
      <c r="A2">
        <v>0</v>
      </c>
      <c r="B2">
        <v>0</v>
      </c>
      <c r="C2">
        <v>2</v>
      </c>
      <c r="D2">
        <v>4</v>
      </c>
      <c r="E2">
        <f>A2+3*B2+2*C2+D2</f>
        <v>8</v>
      </c>
    </row>
    <row r="5" spans="1:5" x14ac:dyDescent="0.45">
      <c r="A5" t="s">
        <v>5</v>
      </c>
    </row>
    <row r="6" spans="1:5" x14ac:dyDescent="0.45">
      <c r="A6">
        <f>A2+B2+2*D2</f>
        <v>8</v>
      </c>
      <c r="B6" t="s">
        <v>6</v>
      </c>
      <c r="C6">
        <v>8</v>
      </c>
    </row>
    <row r="7" spans="1:5" x14ac:dyDescent="0.45">
      <c r="A7">
        <f>B2+C2+D2</f>
        <v>6</v>
      </c>
      <c r="B7" t="s">
        <v>7</v>
      </c>
      <c r="C7">
        <v>6</v>
      </c>
    </row>
    <row r="8" spans="1:5" x14ac:dyDescent="0.45">
      <c r="A8">
        <f>2*A2+C2</f>
        <v>2</v>
      </c>
      <c r="B8" t="s">
        <v>8</v>
      </c>
      <c r="C8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Answer Report 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Lien Tran</cp:lastModifiedBy>
  <dcterms:created xsi:type="dcterms:W3CDTF">2015-06-05T18:17:20Z</dcterms:created>
  <dcterms:modified xsi:type="dcterms:W3CDTF">2026-09-22T16:46:21Z</dcterms:modified>
</cp:coreProperties>
</file>